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yBook Hype\OneDrive\Dokumen\GitHub\"/>
    </mc:Choice>
  </mc:AlternateContent>
  <xr:revisionPtr revIDLastSave="0" documentId="13_ncr:1_{131F12F9-2840-4E60-959A-B3676F3A2CC0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Kontak AR" sheetId="1" r:id="rId1"/>
    <sheet name="PETUNJUK" sheetId="2" r:id="rId2"/>
  </sheets>
  <definedNames>
    <definedName name="_xlnm._FilterDatabase" localSheetId="0" hidden="1">'Kontak AR'!$A$1:$G$44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3" i="1"/>
  <c r="B4" i="1"/>
  <c r="B5" i="1"/>
</calcChain>
</file>

<file path=xl/sharedStrings.xml><?xml version="1.0" encoding="utf-8"?>
<sst xmlns="http://schemas.openxmlformats.org/spreadsheetml/2006/main" count="241" uniqueCount="79">
  <si>
    <t>Divisi</t>
  </si>
  <si>
    <t>Urutan</t>
  </si>
  <si>
    <t>Nama Personel</t>
  </si>
  <si>
    <t>Jabatan</t>
  </si>
  <si>
    <t>Nomor WhatsApp</t>
  </si>
  <si>
    <t>Keterangan</t>
  </si>
  <si>
    <t>Aktif</t>
  </si>
  <si>
    <t>Account Representative</t>
  </si>
  <si>
    <t>YA</t>
  </si>
  <si>
    <t>TEMPLATE KONTAK AR — KPP MADYA DUA JAKARTA BARAT</t>
  </si>
  <si>
    <t>Cara mengisi:</t>
  </si>
  <si>
    <t>1. Satu baris = satu personel.</t>
  </si>
  <si>
    <t>2. Isi nama divisi pada kolom Divisi. Gunakan maksimal 6 divisi sesuai struktur organisasi yang ingin ditampilkan.</t>
  </si>
  <si>
    <t>3. Urutan menentukan posisi personel dalam divisi.</t>
  </si>
  <si>
    <t>4. Isi Nama Personel dan Jabatan.</t>
  </si>
  <si>
    <t>5. Nomor WhatsApp sebaiknya memakai format internasional tanpa tanda + atau spasi. Contoh: 6282114918955.</t>
  </si>
  <si>
    <t>6. Isi Aktif = YA jika ingin personel tampil di website; TIDAK jika ingin disembunyikan.</t>
  </si>
  <si>
    <t>7. Kolom Keterangan opsional.</t>
  </si>
  <si>
    <t>PENTING:</t>
  </si>
  <si>
    <t>File Excel ini menjadi MASTER DATA. Template website yang disertakan menyediakan script untuk mengubah data Excel menjadi data TypeScript sebelum build/deploy.</t>
  </si>
  <si>
    <t>ARIYANTO</t>
  </si>
  <si>
    <t>DEWI NUGRAHENI</t>
  </si>
  <si>
    <t>MARJONO N</t>
  </si>
  <si>
    <t>WENINGTYAS SINTYARANI</t>
  </si>
  <si>
    <t>SURYA BUDI LUBIS</t>
  </si>
  <si>
    <t>VICTOR</t>
  </si>
  <si>
    <t>WISNU SINGGIH HARDAYA</t>
  </si>
  <si>
    <t>HUMISAR PANJAITAN</t>
  </si>
  <si>
    <t>DIAN WURYANI ETIKASARI</t>
  </si>
  <si>
    <t>HASRUL MULIA MARTHA</t>
  </si>
  <si>
    <t>WURI FEBIYANTHI</t>
  </si>
  <si>
    <t>PRIMA PRASETIANTARA</t>
  </si>
  <si>
    <t>MUHAMMAD AFIF YUSUF</t>
  </si>
  <si>
    <t>ENDANG SETYO WIDI ASTUTIK</t>
  </si>
  <si>
    <t>ANDI MULYA</t>
  </si>
  <si>
    <t>SRI ELITA UTAMI DEWI</t>
  </si>
  <si>
    <t>HENRI</t>
  </si>
  <si>
    <t>MURDIANA</t>
  </si>
  <si>
    <t>TIRTA PURNAMA</t>
  </si>
  <si>
    <t>MUHAMMAD NAZWAN</t>
  </si>
  <si>
    <t>SIHAR JOHANSON SIRINGORINGO</t>
  </si>
  <si>
    <t>UMI NASICHAH</t>
  </si>
  <si>
    <t>SRI RETNO HANDAYANI</t>
  </si>
  <si>
    <t>SIGIT RAKASSIWI SUTIKNO</t>
  </si>
  <si>
    <t>ANDANG WISU SAMBODO</t>
  </si>
  <si>
    <t>HERY HASIHOLAN SIHOMBING</t>
  </si>
  <si>
    <t>MOCH HASBI ALGHAMSAH</t>
  </si>
  <si>
    <t>DONI HARYANTO</t>
  </si>
  <si>
    <t>BUDIYANTO</t>
  </si>
  <si>
    <t>TOTA PAKPAHAN</t>
  </si>
  <si>
    <t>BUDI PRASETYO</t>
  </si>
  <si>
    <t>HENDRI KURNIAWAN</t>
  </si>
  <si>
    <t>JEFRYHAN</t>
  </si>
  <si>
    <t>RICO MARCAHAYA HUTAPEA</t>
  </si>
  <si>
    <t>REDHO FIKRI</t>
  </si>
  <si>
    <t>TITIK TRISNAWATI</t>
  </si>
  <si>
    <t>MOKHAMAD ANIQ FIKRI</t>
  </si>
  <si>
    <t>RUSTOMO</t>
  </si>
  <si>
    <t>APRIADI</t>
  </si>
  <si>
    <t>FATKHUROHMAN</t>
  </si>
  <si>
    <t>FREDDY FAISOL</t>
  </si>
  <si>
    <t>REZA SATRIA HAKIM</t>
  </si>
  <si>
    <t>Seksi Pengawasan I</t>
  </si>
  <si>
    <t>Seksi Pengawasan II</t>
  </si>
  <si>
    <t>Seksi Pengawasan III</t>
  </si>
  <si>
    <t>Seksi Pengawasan IV</t>
  </si>
  <si>
    <t>Seksi Pengawasan V</t>
  </si>
  <si>
    <t>Seksi Pengawasan VI</t>
  </si>
  <si>
    <t>Null</t>
  </si>
  <si>
    <t>Whatsapp</t>
  </si>
  <si>
    <t>wa dan telp</t>
  </si>
  <si>
    <t>telepon dan whatapp</t>
  </si>
  <si>
    <t>telepon</t>
  </si>
  <si>
    <t>No WA &amp; Telepon</t>
  </si>
  <si>
    <t>cfm SP2DK Approweb</t>
  </si>
  <si>
    <t>WA</t>
  </si>
  <si>
    <t>WA &amp; Telp</t>
  </si>
  <si>
    <t>wa telp</t>
  </si>
  <si>
    <t>TIDAK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</si>
</sst>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263788"/>
      <name val="Calibri"/>
    </font>
    <font>
      <b/>
      <sz val="11"/>
      <name val="Calibri"/>
    </font>
    <font>
      <b/>
      <sz val="11"/>
      <color rgb="FFC89221"/>
      <name val="Calibri"/>
    </font>
    <font>
      <sz val="10"/>
      <color rgb="FF0D0D0D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2637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vertical="center"/>
    </xf>
    <xf numFmtId="0" fontId="0" fillId="0" borderId="0" xfId="0" applyAlignment="1"/>
    <xf numFmtId="0" fontId="5" fillId="0" borderId="0" xfId="0" applyFont="1" applyAlignment="1">
      <alignment vertical="center"/>
    </xf>
    <xf numFmtId="1" fontId="0" fillId="0" borderId="0" xfId="0" applyNumberFormat="1" applyAlignment="1"/>
    <xf numFmtId="1" fontId="1" fillId="2" borderId="0" xfId="0" applyNumberFormat="1" applyFont="1" applyFill="1" applyAlignment="1">
      <alignment vertical="center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zoomScale="85" zoomScaleNormal="85" workbookViewId="0">
      <pane ySplit="1" topLeftCell="A2" activePane="bottomLeft" state="frozen"/>
      <selection pane="bottomLeft" activeCell="F15" sqref="F15"/>
    </sheetView>
  </sheetViews>
  <sheetFormatPr defaultRowHeight="15"/>
  <cols>
    <col min="1" max="1" width="19.5703125" bestFit="1" customWidth="1"/>
    <col min="2" max="2" width="37.140625" customWidth="1"/>
    <col min="3" max="3" width="31.140625" bestFit="1" customWidth="1"/>
    <col min="4" max="4" width="22.5703125" bestFit="1" customWidth="1"/>
    <col min="5" max="5" width="18.140625" style="9" bestFit="1" customWidth="1"/>
    <col min="6" max="6" width="20.28515625" bestFit="1" customWidth="1"/>
    <col min="7" max="7" width="9.85546875" bestFit="1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8" t="s">
        <v>4</v>
      </c>
      <c r="F1" s="4" t="s">
        <v>5</v>
      </c>
      <c r="G1" s="4" t="s">
        <v>6</v>
      </c>
    </row>
    <row r="2" spans="1:7">
      <c r="A2" s="5" t="s">
        <v>62</v>
      </c>
      <c r="B2" s="6">
        <v>1</v>
      </c>
      <c r="C2" s="5" t="s">
        <v>20</v>
      </c>
      <c r="D2" s="5" t="s">
        <v>7</v>
      </c>
      <c r="E2" s="7">
        <v>62811168918</v>
      </c>
      <c r="F2" s="5" t="s">
        <v>69</v>
      </c>
      <c r="G2" s="5" t="s">
        <v>8</v>
      </c>
    </row>
    <row r="3" spans="1:7">
      <c r="A3" s="5" t="s">
        <v>62</v>
      </c>
      <c r="B3" s="6">
        <f>IFERROR(MATCH(RIGHT(A2,LEN(A2)-FIND(" ",A2,FIND(" ",A2)+1)),{"I";"II";"III";"IV";"V";"VI"},0),"")</f>
        <v>1</v>
      </c>
      <c r="C3" s="5" t="s">
        <v>21</v>
      </c>
      <c r="D3" s="5" t="s">
        <v>7</v>
      </c>
      <c r="E3" s="7">
        <v>6289614448020</v>
      </c>
      <c r="F3" s="5" t="s">
        <v>69</v>
      </c>
      <c r="G3" s="5" t="s">
        <v>8</v>
      </c>
    </row>
    <row r="4" spans="1:7">
      <c r="A4" s="5" t="s">
        <v>62</v>
      </c>
      <c r="B4" s="6">
        <f>IFERROR(MATCH(RIGHT(A3,LEN(A3)-FIND(" ",A3,FIND(" ",A3)+1)),{"I";"II";"III";"IV";"V";"VI"},0),"")</f>
        <v>1</v>
      </c>
      <c r="C4" s="5" t="s">
        <v>22</v>
      </c>
      <c r="D4" s="5" t="s">
        <v>7</v>
      </c>
      <c r="E4" s="7">
        <v>628888030031</v>
      </c>
      <c r="F4" s="5" t="s">
        <v>68</v>
      </c>
      <c r="G4" s="5" t="s">
        <v>8</v>
      </c>
    </row>
    <row r="5" spans="1:7">
      <c r="A5" s="5" t="s">
        <v>62</v>
      </c>
      <c r="B5" s="6">
        <f>IFERROR(MATCH(RIGHT(A4,LEN(A4)-FIND(" ",A4,FIND(" ",A4)+1)),{"I";"II";"III";"IV";"V";"VI"},0),"")</f>
        <v>1</v>
      </c>
      <c r="C5" s="5" t="s">
        <v>23</v>
      </c>
      <c r="D5" s="5" t="s">
        <v>7</v>
      </c>
      <c r="E5" s="7">
        <v>628164231550</v>
      </c>
      <c r="F5" s="5" t="s">
        <v>68</v>
      </c>
      <c r="G5" s="5" t="s">
        <v>8</v>
      </c>
    </row>
    <row r="6" spans="1:7">
      <c r="A6" s="5" t="s">
        <v>62</v>
      </c>
      <c r="B6" s="6">
        <f>IFERROR(MATCH(RIGHT(A5,LEN(A5)-FIND(" ",A5,FIND(" ",A5)+1)),{"I";"II";"III";"IV";"V";"VI"},0),"")</f>
        <v>1</v>
      </c>
      <c r="C6" s="5" t="s">
        <v>24</v>
      </c>
      <c r="D6" s="5" t="s">
        <v>7</v>
      </c>
      <c r="E6" s="7" t="s">
        <v>68</v>
      </c>
      <c r="F6" s="5" t="s">
        <v>70</v>
      </c>
      <c r="G6" s="5"/>
    </row>
    <row r="7" spans="1:7">
      <c r="A7" s="5" t="s">
        <v>62</v>
      </c>
      <c r="B7" s="6">
        <f>IFERROR(MATCH(RIGHT(A6,LEN(A6)-FIND(" ",A6,FIND(" ",A6)+1)),{"I";"II";"III";"IV";"V";"VI"},0),"")</f>
        <v>1</v>
      </c>
      <c r="C7" s="5" t="s">
        <v>25</v>
      </c>
      <c r="D7" s="5" t="s">
        <v>7</v>
      </c>
      <c r="E7" s="7">
        <v>6282122710035</v>
      </c>
      <c r="F7" s="5" t="s">
        <v>69</v>
      </c>
      <c r="G7" s="5" t="s">
        <v>8</v>
      </c>
    </row>
    <row r="8" spans="1:7">
      <c r="A8" s="5" t="s">
        <v>62</v>
      </c>
      <c r="B8" s="6">
        <f>IFERROR(MATCH(RIGHT(A7,LEN(A7)-FIND(" ",A7,FIND(" ",A7)+1)),{"I";"II";"III";"IV";"V";"VI"},0),"")</f>
        <v>1</v>
      </c>
      <c r="C8" s="5" t="s">
        <v>26</v>
      </c>
      <c r="D8" s="5" t="s">
        <v>7</v>
      </c>
      <c r="E8" s="7">
        <v>6289652498184</v>
      </c>
      <c r="F8" s="5" t="s">
        <v>68</v>
      </c>
      <c r="G8" s="5" t="s">
        <v>8</v>
      </c>
    </row>
    <row r="9" spans="1:7">
      <c r="A9" s="5" t="s">
        <v>63</v>
      </c>
      <c r="B9" s="6">
        <f>IFERROR(MATCH(RIGHT(A8,LEN(A8)-FIND(" ",A8,FIND(" ",A8)+1)),{"I";"II";"III";"IV";"V";"VI"},0),"")</f>
        <v>1</v>
      </c>
      <c r="C9" s="5" t="s">
        <v>27</v>
      </c>
      <c r="D9" s="5" t="s">
        <v>7</v>
      </c>
      <c r="E9" s="7" t="s">
        <v>68</v>
      </c>
      <c r="F9" s="5" t="s">
        <v>71</v>
      </c>
      <c r="G9" s="5"/>
    </row>
    <row r="10" spans="1:7">
      <c r="A10" s="5" t="s">
        <v>63</v>
      </c>
      <c r="B10" s="6">
        <f>IFERROR(MATCH(RIGHT(A9,LEN(A9)-FIND(" ",A9,FIND(" ",A9)+1)),{"I";"II";"III";"IV";"V";"VI"},0),"")</f>
        <v>2</v>
      </c>
      <c r="C10" s="5" t="s">
        <v>28</v>
      </c>
      <c r="D10" s="5" t="s">
        <v>7</v>
      </c>
      <c r="E10" s="7">
        <v>628119150275</v>
      </c>
      <c r="F10" s="5" t="s">
        <v>68</v>
      </c>
      <c r="G10" s="5" t="s">
        <v>8</v>
      </c>
    </row>
    <row r="11" spans="1:7">
      <c r="A11" s="5" t="s">
        <v>63</v>
      </c>
      <c r="B11" s="6">
        <f>IFERROR(MATCH(RIGHT(A10,LEN(A10)-FIND(" ",A10,FIND(" ",A10)+1)),{"I";"II";"III";"IV";"V";"VI"},0),"")</f>
        <v>2</v>
      </c>
      <c r="C11" s="5" t="s">
        <v>29</v>
      </c>
      <c r="D11" s="5" t="s">
        <v>7</v>
      </c>
      <c r="E11" s="7">
        <v>6281324455157</v>
      </c>
      <c r="F11" s="5" t="s">
        <v>68</v>
      </c>
      <c r="G11" s="5" t="s">
        <v>8</v>
      </c>
    </row>
    <row r="12" spans="1:7">
      <c r="A12" s="5" t="s">
        <v>63</v>
      </c>
      <c r="B12" s="6">
        <f>IFERROR(MATCH(RIGHT(A11,LEN(A11)-FIND(" ",A11,FIND(" ",A11)+1)),{"I";"II";"III";"IV";"V";"VI"},0),"")</f>
        <v>2</v>
      </c>
      <c r="C12" s="5" t="s">
        <v>30</v>
      </c>
      <c r="D12" s="5" t="s">
        <v>7</v>
      </c>
      <c r="E12" s="7">
        <v>628119668180</v>
      </c>
      <c r="F12" s="5" t="s">
        <v>69</v>
      </c>
      <c r="G12" s="5" t="s">
        <v>8</v>
      </c>
    </row>
    <row r="13" spans="1:7">
      <c r="A13" s="5" t="s">
        <v>63</v>
      </c>
      <c r="B13" s="6">
        <f>IFERROR(MATCH(RIGHT(A12,LEN(A12)-FIND(" ",A12,FIND(" ",A12)+1)),{"I";"II";"III";"IV";"V";"VI"},0),"")</f>
        <v>2</v>
      </c>
      <c r="C13" s="5" t="s">
        <v>31</v>
      </c>
      <c r="D13" s="5" t="s">
        <v>7</v>
      </c>
      <c r="E13" s="7" t="s">
        <v>68</v>
      </c>
      <c r="F13" s="5" t="s">
        <v>69</v>
      </c>
      <c r="G13" s="5"/>
    </row>
    <row r="14" spans="1:7">
      <c r="A14" s="5" t="s">
        <v>63</v>
      </c>
      <c r="B14" s="6">
        <f>IFERROR(MATCH(RIGHT(A13,LEN(A13)-FIND(" ",A13,FIND(" ",A13)+1)),{"I";"II";"III";"IV";"V";"VI"},0),"")</f>
        <v>2</v>
      </c>
      <c r="C14" s="5" t="s">
        <v>32</v>
      </c>
      <c r="D14" s="5" t="s">
        <v>7</v>
      </c>
      <c r="E14" s="7">
        <v>6282345677732</v>
      </c>
      <c r="F14" s="5" t="s">
        <v>69</v>
      </c>
      <c r="G14" s="5" t="s">
        <v>8</v>
      </c>
    </row>
    <row r="15" spans="1:7">
      <c r="A15" s="5" t="s">
        <v>63</v>
      </c>
      <c r="B15" s="6">
        <f>IFERROR(MATCH(RIGHT(A14,LEN(A14)-FIND(" ",A14,FIND(" ",A14)+1)),{"I";"II";"III";"IV";"V";"VI"},0),"")</f>
        <v>2</v>
      </c>
      <c r="C15" s="5" t="s">
        <v>33</v>
      </c>
      <c r="D15" s="5" t="s">
        <v>7</v>
      </c>
      <c r="E15" s="7">
        <v>6281319398080</v>
      </c>
      <c r="F15" s="5" t="s">
        <v>68</v>
      </c>
      <c r="G15" s="5" t="s">
        <v>8</v>
      </c>
    </row>
    <row r="16" spans="1:7">
      <c r="A16" s="5" t="s">
        <v>64</v>
      </c>
      <c r="B16" s="6">
        <f>IFERROR(MATCH(RIGHT(A15,LEN(A15)-FIND(" ",A15,FIND(" ",A15)+1)),{"I";"II";"III";"IV";"V";"VI"},0),"")</f>
        <v>2</v>
      </c>
      <c r="C16" s="5" t="s">
        <v>34</v>
      </c>
      <c r="D16" s="5" t="s">
        <v>7</v>
      </c>
      <c r="E16" s="7">
        <v>6281212149429</v>
      </c>
      <c r="F16" s="5" t="s">
        <v>68</v>
      </c>
      <c r="G16" s="5" t="s">
        <v>8</v>
      </c>
    </row>
    <row r="17" spans="1:7">
      <c r="A17" s="5" t="s">
        <v>64</v>
      </c>
      <c r="B17" s="6">
        <f>IFERROR(MATCH(RIGHT(A16,LEN(A16)-FIND(" ",A16,FIND(" ",A16)+1)),{"I";"II";"III";"IV";"V";"VI"},0),"")</f>
        <v>3</v>
      </c>
      <c r="C17" s="5" t="s">
        <v>35</v>
      </c>
      <c r="D17" s="5" t="s">
        <v>7</v>
      </c>
      <c r="E17" s="7">
        <v>6285813335370</v>
      </c>
      <c r="F17" s="5" t="s">
        <v>72</v>
      </c>
      <c r="G17" s="5" t="s">
        <v>8</v>
      </c>
    </row>
    <row r="18" spans="1:7">
      <c r="A18" s="5" t="s">
        <v>64</v>
      </c>
      <c r="B18" s="6">
        <f>IFERROR(MATCH(RIGHT(A17,LEN(A17)-FIND(" ",A17,FIND(" ",A17)+1)),{"I";"II";"III";"IV";"V";"VI"},0),"")</f>
        <v>3</v>
      </c>
      <c r="C18" s="5" t="s">
        <v>36</v>
      </c>
      <c r="D18" s="5" t="s">
        <v>7</v>
      </c>
      <c r="E18" s="7">
        <v>62822997002056</v>
      </c>
      <c r="F18" s="5" t="s">
        <v>69</v>
      </c>
      <c r="G18" s="5" t="s">
        <v>8</v>
      </c>
    </row>
    <row r="19" spans="1:7">
      <c r="A19" s="5" t="s">
        <v>64</v>
      </c>
      <c r="B19" s="6">
        <f>IFERROR(MATCH(RIGHT(A18,LEN(A18)-FIND(" ",A18,FIND(" ",A18)+1)),{"I";"II";"III";"IV";"V";"VI"},0),"")</f>
        <v>3</v>
      </c>
      <c r="C19" s="5" t="s">
        <v>37</v>
      </c>
      <c r="D19" s="5" t="s">
        <v>7</v>
      </c>
      <c r="E19" s="7">
        <v>6281548015152</v>
      </c>
      <c r="F19" s="5" t="s">
        <v>68</v>
      </c>
      <c r="G19" s="5" t="s">
        <v>8</v>
      </c>
    </row>
    <row r="20" spans="1:7">
      <c r="A20" s="5" t="s">
        <v>64</v>
      </c>
      <c r="B20" s="6">
        <f>IFERROR(MATCH(RIGHT(A19,LEN(A19)-FIND(" ",A19,FIND(" ",A19)+1)),{"I";"II";"III";"IV";"V";"VI"},0),"")</f>
        <v>3</v>
      </c>
      <c r="C20" s="5" t="s">
        <v>38</v>
      </c>
      <c r="D20" s="5" t="s">
        <v>7</v>
      </c>
      <c r="E20" s="7">
        <v>628211945440</v>
      </c>
      <c r="F20" s="5" t="s">
        <v>68</v>
      </c>
      <c r="G20" s="5" t="s">
        <v>8</v>
      </c>
    </row>
    <row r="21" spans="1:7">
      <c r="A21" s="5" t="s">
        <v>64</v>
      </c>
      <c r="B21" s="6">
        <f>IFERROR(MATCH(RIGHT(A20,LEN(A20)-FIND(" ",A20,FIND(" ",A20)+1)),{"I";"II";"III";"IV";"V";"VI"},0),"")</f>
        <v>3</v>
      </c>
      <c r="C21" s="5" t="s">
        <v>39</v>
      </c>
      <c r="D21" s="5" t="s">
        <v>7</v>
      </c>
      <c r="E21" s="7" t="s">
        <v>68</v>
      </c>
      <c r="F21" s="5" t="s">
        <v>69</v>
      </c>
      <c r="G21" s="5" t="s">
        <v>78</v>
      </c>
    </row>
    <row r="22" spans="1:7">
      <c r="A22" s="5" t="s">
        <v>64</v>
      </c>
      <c r="B22" s="6">
        <f>IFERROR(MATCH(RIGHT(A21,LEN(A21)-FIND(" ",A21,FIND(" ",A21)+1)),{"I";"II";"III";"IV";"V";"VI"},0),"")</f>
        <v>3</v>
      </c>
      <c r="C22" s="5" t="s">
        <v>40</v>
      </c>
      <c r="D22" s="5" t="s">
        <v>7</v>
      </c>
      <c r="E22" s="7">
        <v>6281373588048</v>
      </c>
      <c r="F22" s="5" t="s">
        <v>69</v>
      </c>
      <c r="G22" s="5" t="s">
        <v>8</v>
      </c>
    </row>
    <row r="23" spans="1:7">
      <c r="A23" s="5" t="s">
        <v>65</v>
      </c>
      <c r="B23" s="6">
        <f>IFERROR(MATCH(RIGHT(A22,LEN(A22)-FIND(" ",A22,FIND(" ",A22)+1)),{"I";"II";"III";"IV";"V";"VI"},0),"")</f>
        <v>3</v>
      </c>
      <c r="C23" s="5" t="s">
        <v>41</v>
      </c>
      <c r="D23" s="5" t="s">
        <v>7</v>
      </c>
      <c r="E23" s="7">
        <v>628118607111</v>
      </c>
      <c r="F23" s="5" t="s">
        <v>68</v>
      </c>
      <c r="G23" s="5" t="s">
        <v>8</v>
      </c>
    </row>
    <row r="24" spans="1:7">
      <c r="A24" s="5" t="s">
        <v>65</v>
      </c>
      <c r="B24" s="6">
        <f>IFERROR(MATCH(RIGHT(A23,LEN(A23)-FIND(" ",A23,FIND(" ",A23)+1)),{"I";"II";"III";"IV";"V";"VI"},0),"")</f>
        <v>4</v>
      </c>
      <c r="C24" s="5" t="s">
        <v>42</v>
      </c>
      <c r="D24" s="5" t="s">
        <v>7</v>
      </c>
      <c r="E24" s="7" t="s">
        <v>68</v>
      </c>
      <c r="F24" s="5" t="s">
        <v>69</v>
      </c>
      <c r="G24" s="5" t="s">
        <v>78</v>
      </c>
    </row>
    <row r="25" spans="1:7">
      <c r="A25" s="5" t="s">
        <v>65</v>
      </c>
      <c r="B25" s="6">
        <f>IFERROR(MATCH(RIGHT(A24,LEN(A24)-FIND(" ",A24,FIND(" ",A24)+1)),{"I";"II";"III";"IV";"V";"VI"},0),"")</f>
        <v>4</v>
      </c>
      <c r="C25" s="5" t="s">
        <v>43</v>
      </c>
      <c r="D25" s="5" t="s">
        <v>7</v>
      </c>
      <c r="E25" s="7">
        <v>621310604160</v>
      </c>
      <c r="F25" s="5" t="s">
        <v>68</v>
      </c>
      <c r="G25" s="5" t="s">
        <v>8</v>
      </c>
    </row>
    <row r="26" spans="1:7">
      <c r="A26" s="5" t="s">
        <v>65</v>
      </c>
      <c r="B26" s="6">
        <f>IFERROR(MATCH(RIGHT(A25,LEN(A25)-FIND(" ",A25,FIND(" ",A25)+1)),{"I";"II";"III";"IV";"V";"VI"},0),"")</f>
        <v>4</v>
      </c>
      <c r="C26" s="5" t="s">
        <v>44</v>
      </c>
      <c r="D26" s="5" t="s">
        <v>7</v>
      </c>
      <c r="E26" s="7" t="s">
        <v>68</v>
      </c>
      <c r="F26" s="5" t="s">
        <v>68</v>
      </c>
      <c r="G26" s="5" t="s">
        <v>78</v>
      </c>
    </row>
    <row r="27" spans="1:7">
      <c r="A27" s="5" t="s">
        <v>65</v>
      </c>
      <c r="B27" s="6">
        <f>IFERROR(MATCH(RIGHT(A26,LEN(A26)-FIND(" ",A26,FIND(" ",A26)+1)),{"I";"II";"III";"IV";"V";"VI"},0),"")</f>
        <v>4</v>
      </c>
      <c r="C27" s="5" t="s">
        <v>38</v>
      </c>
      <c r="D27" s="5" t="s">
        <v>7</v>
      </c>
      <c r="E27" s="7" t="s">
        <v>68</v>
      </c>
      <c r="F27" s="5" t="s">
        <v>73</v>
      </c>
      <c r="G27" s="5" t="s">
        <v>78</v>
      </c>
    </row>
    <row r="28" spans="1:7">
      <c r="A28" s="5" t="s">
        <v>65</v>
      </c>
      <c r="B28" s="6">
        <f>IFERROR(MATCH(RIGHT(A27,LEN(A27)-FIND(" ",A27,FIND(" ",A27)+1)),{"I";"II";"III";"IV";"V";"VI"},0),"")</f>
        <v>4</v>
      </c>
      <c r="C28" s="5" t="s">
        <v>45</v>
      </c>
      <c r="D28" s="5" t="s">
        <v>7</v>
      </c>
      <c r="E28" s="7" t="s">
        <v>68</v>
      </c>
      <c r="F28" s="5" t="s">
        <v>73</v>
      </c>
      <c r="G28" s="5" t="s">
        <v>78</v>
      </c>
    </row>
    <row r="29" spans="1:7">
      <c r="A29" s="5" t="s">
        <v>65</v>
      </c>
      <c r="B29" s="6">
        <f>IFERROR(MATCH(RIGHT(A28,LEN(A28)-FIND(" ",A28,FIND(" ",A28)+1)),{"I";"II";"III";"IV";"V";"VI"},0),"")</f>
        <v>4</v>
      </c>
      <c r="C29" s="5" t="s">
        <v>46</v>
      </c>
      <c r="D29" s="5" t="s">
        <v>7</v>
      </c>
      <c r="E29" s="7" t="s">
        <v>68</v>
      </c>
      <c r="F29" s="5" t="s">
        <v>68</v>
      </c>
      <c r="G29" s="5" t="s">
        <v>78</v>
      </c>
    </row>
    <row r="30" spans="1:7">
      <c r="A30" s="5" t="s">
        <v>65</v>
      </c>
      <c r="B30" s="6">
        <f>IFERROR(MATCH(RIGHT(A29,LEN(A29)-FIND(" ",A29,FIND(" ",A29)+1)),{"I";"II";"III";"IV";"V";"VI"},0),"")</f>
        <v>4</v>
      </c>
      <c r="C30" s="5" t="s">
        <v>47</v>
      </c>
      <c r="D30" s="5" t="s">
        <v>7</v>
      </c>
      <c r="E30" s="7" t="s">
        <v>68</v>
      </c>
      <c r="F30" s="5" t="s">
        <v>69</v>
      </c>
      <c r="G30" s="5" t="s">
        <v>78</v>
      </c>
    </row>
    <row r="31" spans="1:7">
      <c r="A31" s="5" t="s">
        <v>66</v>
      </c>
      <c r="B31" s="6">
        <f>IFERROR(MATCH(RIGHT(A30,LEN(A30)-FIND(" ",A30,FIND(" ",A30)+1)),{"I";"II";"III";"IV";"V";"VI"},0),"")</f>
        <v>4</v>
      </c>
      <c r="C31" s="5" t="s">
        <v>48</v>
      </c>
      <c r="D31" s="5" t="s">
        <v>7</v>
      </c>
      <c r="E31" s="7">
        <v>6285119770588</v>
      </c>
      <c r="F31" s="5" t="s">
        <v>69</v>
      </c>
      <c r="G31" s="5" t="s">
        <v>8</v>
      </c>
    </row>
    <row r="32" spans="1:7">
      <c r="A32" s="5" t="s">
        <v>66</v>
      </c>
      <c r="B32" s="6">
        <f>IFERROR(MATCH(RIGHT(A31,LEN(A31)-FIND(" ",A31,FIND(" ",A31)+1)),{"I";"II";"III";"IV";"V";"VI"},0),"")</f>
        <v>5</v>
      </c>
      <c r="C32" s="5" t="s">
        <v>49</v>
      </c>
      <c r="D32" s="5" t="s">
        <v>7</v>
      </c>
      <c r="E32" s="7">
        <v>6281901092001</v>
      </c>
      <c r="F32" s="5" t="s">
        <v>74</v>
      </c>
      <c r="G32" s="5" t="s">
        <v>8</v>
      </c>
    </row>
    <row r="33" spans="1:7">
      <c r="A33" s="5" t="s">
        <v>66</v>
      </c>
      <c r="B33" s="6">
        <f>IFERROR(MATCH(RIGHT(A32,LEN(A32)-FIND(" ",A32,FIND(" ",A32)+1)),{"I";"II";"III";"IV";"V";"VI"},0),"")</f>
        <v>5</v>
      </c>
      <c r="C33" s="5" t="s">
        <v>50</v>
      </c>
      <c r="D33" s="5" t="s">
        <v>7</v>
      </c>
      <c r="E33" s="7">
        <v>628871387837</v>
      </c>
      <c r="F33" s="5" t="s">
        <v>68</v>
      </c>
      <c r="G33" s="5" t="s">
        <v>8</v>
      </c>
    </row>
    <row r="34" spans="1:7">
      <c r="A34" s="5" t="s">
        <v>66</v>
      </c>
      <c r="B34" s="6">
        <f>IFERROR(MATCH(RIGHT(A33,LEN(A33)-FIND(" ",A33,FIND(" ",A33)+1)),{"I";"II";"III";"IV";"V";"VI"},0),"")</f>
        <v>5</v>
      </c>
      <c r="C34" s="5" t="s">
        <v>51</v>
      </c>
      <c r="D34" s="5" t="s">
        <v>7</v>
      </c>
      <c r="E34" s="7">
        <v>6281269431987</v>
      </c>
      <c r="F34" s="5" t="s">
        <v>73</v>
      </c>
      <c r="G34" s="5" t="s">
        <v>8</v>
      </c>
    </row>
    <row r="35" spans="1:7">
      <c r="A35" s="5" t="s">
        <v>66</v>
      </c>
      <c r="B35" s="6">
        <f>IFERROR(MATCH(RIGHT(A34,LEN(A34)-FIND(" ",A34,FIND(" ",A34)+1)),{"I";"II";"III";"IV";"V";"VI"},0),"")</f>
        <v>5</v>
      </c>
      <c r="C35" s="5" t="s">
        <v>52</v>
      </c>
      <c r="D35" s="5" t="s">
        <v>7</v>
      </c>
      <c r="E35" s="7">
        <v>6281367252805</v>
      </c>
      <c r="F35" s="5" t="s">
        <v>68</v>
      </c>
      <c r="G35" s="5" t="s">
        <v>8</v>
      </c>
    </row>
    <row r="36" spans="1:7">
      <c r="A36" s="5" t="s">
        <v>66</v>
      </c>
      <c r="B36" s="6">
        <f>IFERROR(MATCH(RIGHT(A35,LEN(A35)-FIND(" ",A35,FIND(" ",A35)+1)),{"I";"II";"III";"IV";"V";"VI"},0),"")</f>
        <v>5</v>
      </c>
      <c r="C36" s="5" t="s">
        <v>53</v>
      </c>
      <c r="D36" s="5" t="s">
        <v>7</v>
      </c>
      <c r="E36" s="7" t="s">
        <v>68</v>
      </c>
      <c r="F36" s="5" t="s">
        <v>69</v>
      </c>
      <c r="G36" s="5" t="s">
        <v>78</v>
      </c>
    </row>
    <row r="37" spans="1:7">
      <c r="A37" s="5" t="s">
        <v>66</v>
      </c>
      <c r="B37" s="6">
        <f>IFERROR(MATCH(RIGHT(A36,LEN(A36)-FIND(" ",A36,FIND(" ",A36)+1)),{"I";"II";"III";"IV";"V";"VI"},0),"")</f>
        <v>5</v>
      </c>
      <c r="C37" s="5" t="s">
        <v>54</v>
      </c>
      <c r="D37" s="5" t="s">
        <v>7</v>
      </c>
      <c r="E37" s="7">
        <v>628111811589</v>
      </c>
      <c r="F37" s="5" t="s">
        <v>73</v>
      </c>
      <c r="G37" s="5" t="s">
        <v>8</v>
      </c>
    </row>
    <row r="38" spans="1:7">
      <c r="A38" s="5" t="s">
        <v>67</v>
      </c>
      <c r="B38" s="6">
        <f>IFERROR(MATCH(RIGHT(A37,LEN(A37)-FIND(" ",A37,FIND(" ",A37)+1)),{"I";"II";"III";"IV";"V";"VI"},0),"")</f>
        <v>5</v>
      </c>
      <c r="C38" s="5" t="s">
        <v>55</v>
      </c>
      <c r="D38" s="5" t="s">
        <v>7</v>
      </c>
      <c r="E38" s="7">
        <v>6281319253688</v>
      </c>
      <c r="F38" s="5" t="s">
        <v>68</v>
      </c>
      <c r="G38" s="5" t="s">
        <v>8</v>
      </c>
    </row>
    <row r="39" spans="1:7">
      <c r="A39" s="5" t="s">
        <v>67</v>
      </c>
      <c r="B39" s="6">
        <f>IFERROR(MATCH(RIGHT(A38,LEN(A38)-FIND(" ",A38,FIND(" ",A38)+1)),{"I";"II";"III";"IV";"V";"VI"},0),"")</f>
        <v>6</v>
      </c>
      <c r="C39" s="5" t="s">
        <v>56</v>
      </c>
      <c r="D39" s="5" t="s">
        <v>7</v>
      </c>
      <c r="E39" s="7" t="s">
        <v>68</v>
      </c>
      <c r="F39" s="5" t="s">
        <v>73</v>
      </c>
      <c r="G39" s="5" t="s">
        <v>78</v>
      </c>
    </row>
    <row r="40" spans="1:7">
      <c r="A40" s="5" t="s">
        <v>67</v>
      </c>
      <c r="B40" s="6">
        <f>IFERROR(MATCH(RIGHT(A39,LEN(A39)-FIND(" ",A39,FIND(" ",A39)+1)),{"I";"II";"III";"IV";"V";"VI"},0),"")</f>
        <v>6</v>
      </c>
      <c r="C40" s="5" t="s">
        <v>57</v>
      </c>
      <c r="D40" s="5" t="s">
        <v>7</v>
      </c>
      <c r="E40" s="7">
        <v>6285741212442</v>
      </c>
      <c r="F40" s="5" t="s">
        <v>75</v>
      </c>
      <c r="G40" s="5" t="s">
        <v>8</v>
      </c>
    </row>
    <row r="41" spans="1:7">
      <c r="A41" s="5" t="s">
        <v>67</v>
      </c>
      <c r="B41" s="6">
        <f>IFERROR(MATCH(RIGHT(A40,LEN(A40)-FIND(" ",A40,FIND(" ",A40)+1)),{"I";"II";"III";"IV";"V";"VI"},0),"")</f>
        <v>6</v>
      </c>
      <c r="C41" s="5" t="s">
        <v>58</v>
      </c>
      <c r="D41" s="5" t="s">
        <v>7</v>
      </c>
      <c r="E41" s="7">
        <v>6285267672008</v>
      </c>
      <c r="F41" s="5" t="s">
        <v>76</v>
      </c>
      <c r="G41" s="5" t="s">
        <v>8</v>
      </c>
    </row>
    <row r="42" spans="1:7">
      <c r="A42" s="5" t="s">
        <v>67</v>
      </c>
      <c r="B42" s="6">
        <f>IFERROR(MATCH(RIGHT(A41,LEN(A41)-FIND(" ",A41,FIND(" ",A41)+1)),{"I";"II";"III";"IV";"V";"VI"},0),"")</f>
        <v>6</v>
      </c>
      <c r="C42" s="5" t="s">
        <v>59</v>
      </c>
      <c r="D42" s="5" t="s">
        <v>7</v>
      </c>
      <c r="E42" s="7">
        <v>6281212261245</v>
      </c>
      <c r="F42" s="5" t="s">
        <v>75</v>
      </c>
      <c r="G42" s="5" t="s">
        <v>8</v>
      </c>
    </row>
    <row r="43" spans="1:7">
      <c r="A43" s="5" t="s">
        <v>67</v>
      </c>
      <c r="B43" s="6">
        <f>IFERROR(MATCH(RIGHT(A42,LEN(A42)-FIND(" ",A42,FIND(" ",A42)+1)),{"I";"II";"III";"IV";"V";"VI"},0),"")</f>
        <v>6</v>
      </c>
      <c r="C43" s="5" t="s">
        <v>60</v>
      </c>
      <c r="D43" s="5" t="s">
        <v>7</v>
      </c>
      <c r="E43" s="7">
        <v>6282310928682</v>
      </c>
      <c r="F43" s="5" t="s">
        <v>77</v>
      </c>
      <c r="G43" s="5" t="s">
        <v>8</v>
      </c>
    </row>
    <row r="44" spans="1:7">
      <c r="A44" s="5" t="s">
        <v>67</v>
      </c>
      <c r="B44" s="6">
        <f>IFERROR(MATCH(RIGHT(A43,LEN(A43)-FIND(" ",A43,FIND(" ",A43)+1)),{"I";"II";"III";"IV";"V";"VI"},0),"")</f>
        <v>6</v>
      </c>
      <c r="C44" s="5" t="s">
        <v>61</v>
      </c>
      <c r="D44" s="5" t="s">
        <v>7</v>
      </c>
      <c r="E44" s="7">
        <v>6281293981074</v>
      </c>
      <c r="F44" s="5"/>
      <c r="G44" s="5" t="s">
        <v>8</v>
      </c>
    </row>
  </sheetData>
  <dataValidations count="1">
    <dataValidation type="list" sqref="G2:G500" xr:uid="{00000000-0002-0000-0000-000000000000}">
      <formula1>"YA,TIDAK"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>
      <selection activeCell="A8" sqref="A8"/>
    </sheetView>
  </sheetViews>
  <sheetFormatPr defaultRowHeight="15"/>
  <cols>
    <col min="1" max="1" width="120" customWidth="1"/>
  </cols>
  <sheetData>
    <row r="1" spans="1:1" ht="18.75">
      <c r="A1" s="1" t="s">
        <v>9</v>
      </c>
    </row>
    <row r="3" spans="1:1">
      <c r="A3" s="2" t="s">
        <v>10</v>
      </c>
    </row>
    <row r="4" spans="1:1">
      <c r="A4" t="s">
        <v>11</v>
      </c>
    </row>
    <row r="5" spans="1:1">
      <c r="A5" t="s">
        <v>12</v>
      </c>
    </row>
    <row r="6" spans="1:1">
      <c r="A6" t="s">
        <v>13</v>
      </c>
    </row>
    <row r="7" spans="1:1">
      <c r="A7" t="s">
        <v>14</v>
      </c>
    </row>
    <row r="8" spans="1:1">
      <c r="A8" t="s">
        <v>15</v>
      </c>
    </row>
    <row r="9" spans="1:1">
      <c r="A9" t="s">
        <v>16</v>
      </c>
    </row>
    <row r="10" spans="1:1">
      <c r="A10" t="s">
        <v>17</v>
      </c>
    </row>
    <row r="12" spans="1:1">
      <c r="A12" s="3" t="s">
        <v>18</v>
      </c>
    </row>
    <row r="13" spans="1:1">
      <c r="A1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Kontak AR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hanifudin fuadi</cp:lastModifiedBy>
  <dcterms:created xsi:type="dcterms:W3CDTF">2026-10-08T07:47:09Z</dcterms:created>
  <dcterms:modified xsi:type="dcterms:W3CDTF">2026-10-08T08:26:30Z</dcterms:modified>
</cp:coreProperties>
</file>